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<sst xmlns="http://schemas.openxmlformats.org/spreadsheetml/2006/main" uniqueCount="14">
  <si>
    <t>Table 1</t>
  </si>
  <si>
    <t>N</t>
  </si>
  <si>
    <t>IA</t>
  </si>
  <si>
    <t>D</t>
  </si>
  <si>
    <t>i</t>
  </si>
  <si>
    <t>q*K</t>
  </si>
  <si>
    <t>r*K</t>
  </si>
  <si>
    <t>2-D*Xi=K</t>
  </si>
  <si>
    <t>Error</t>
  </si>
  <si>
    <t>bits</t>
  </si>
  <si>
    <t>For 16 bits, we get a new one X/Y = 1.89425391213939 at iteration 4, and we can round using RNE.</t>
  </si>
  <si>
    <t>RNE (Binary)</t>
  </si>
  <si>
    <t>0011111110010100</t>
  </si>
  <si>
    <t>RNE (Decimal)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</si>
</sst>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0" borderId="1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05" customHeight="1">
      <c r="A2" s="3">
        <v>1.93028319</v>
      </c>
      <c r="B2" t="s" s="4">
        <v>1</v>
      </c>
      <c r="C2" t="s" s="4">
        <v>2</v>
      </c>
      <c r="D2" s="3">
        <v>0.75</v>
      </c>
      <c r="E2" s="5"/>
      <c r="F2" s="5"/>
      <c r="G2" s="5"/>
    </row>
    <row r="3" ht="20.05" customHeight="1">
      <c r="A3" s="3">
        <v>1.0190203</v>
      </c>
      <c r="B3" t="s" s="4">
        <v>3</v>
      </c>
      <c r="C3" s="5"/>
      <c r="D3" s="5"/>
      <c r="E3" s="5"/>
      <c r="F3" s="5"/>
      <c r="G3" s="5"/>
    </row>
    <row r="4" ht="20.05" customHeight="1">
      <c r="A4" s="5"/>
      <c r="B4" s="5"/>
      <c r="C4" s="5"/>
      <c r="D4" s="5"/>
      <c r="E4" s="5"/>
      <c r="F4" s="5"/>
      <c r="G4" s="5"/>
    </row>
    <row r="5" ht="20.05" customHeight="1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  <c r="G5" s="5"/>
    </row>
    <row r="6" ht="20.05" customHeight="1">
      <c r="A6" s="3">
        <v>0</v>
      </c>
      <c r="B6" s="3">
        <f>$A$2*D2</f>
        <v>1.4477123925</v>
      </c>
      <c r="C6" s="3">
        <f>$A$3*(D2)</f>
        <v>0.764265225</v>
      </c>
      <c r="D6" s="3">
        <f>(2-C6)</f>
        <v>1.235734775</v>
      </c>
      <c r="E6" s="3">
        <f>ABS(B6-($A$2/$A$3))</f>
        <v>0.446541519811659</v>
      </c>
      <c r="F6" s="3">
        <f>-LOG(E6,2)</f>
        <v>1.16313377028779</v>
      </c>
      <c r="G6" s="5"/>
    </row>
    <row r="7" ht="20.05" customHeight="1">
      <c r="A7" s="3">
        <v>1</v>
      </c>
      <c r="B7" s="3">
        <f>B6*D6</f>
        <v>1.7889885476107</v>
      </c>
      <c r="C7" s="3">
        <f>C6*D6</f>
        <v>0.944429115855699</v>
      </c>
      <c r="D7" s="3">
        <f>(2-C7)</f>
        <v>1.0555708841443</v>
      </c>
      <c r="E7" s="3">
        <f>ABS(B7-($A$2/$A$3))</f>
        <v>0.105265364700959</v>
      </c>
      <c r="F7" s="3">
        <f>-LOG(E7,2)</f>
        <v>3.24789726815089</v>
      </c>
      <c r="G7" s="5"/>
    </row>
    <row r="8" ht="20.05" customHeight="1">
      <c r="A8" s="3">
        <v>2</v>
      </c>
      <c r="B8" s="3">
        <f>B7*D7</f>
        <v>1.88840422292545</v>
      </c>
      <c r="C8" s="3">
        <f>C7*D7</f>
        <v>0.99691187683542</v>
      </c>
      <c r="D8" s="3">
        <f>(2-C8)</f>
        <v>1.00308812316458</v>
      </c>
      <c r="E8" s="3">
        <f>ABS(B8-($A$2/$A$3))</f>
        <v>0.00584968938620856</v>
      </c>
      <c r="F8" s="3">
        <f>-LOG(E8,2)</f>
        <v>7.41742426387609</v>
      </c>
      <c r="G8" s="5"/>
    </row>
    <row r="9" ht="20.05" customHeight="1">
      <c r="A9" s="3">
        <v>3</v>
      </c>
      <c r="B9" s="3">
        <f>B8*D8</f>
        <v>1.89423584775036</v>
      </c>
      <c r="C9" s="3">
        <f>C8*D8</f>
        <v>0.9999904634953199</v>
      </c>
      <c r="D9" s="3">
        <f>(2-C9)</f>
        <v>1.00000953650468</v>
      </c>
      <c r="E9" s="3">
        <f>ABS(B9-($A$2/$A$3))</f>
        <v>1.80645612985607e-05</v>
      </c>
      <c r="F9" s="3">
        <f>-LOG(E9,2)</f>
        <v>15.7564782553751</v>
      </c>
      <c r="G9" s="5"/>
    </row>
    <row r="10" ht="20.05" customHeight="1">
      <c r="A10" s="3">
        <v>4</v>
      </c>
      <c r="B10" s="3">
        <f>B9*D9</f>
        <v>1.89425391213939</v>
      </c>
      <c r="C10" s="3">
        <f>C9*D9</f>
        <v>0.999999999909055</v>
      </c>
      <c r="D10" s="3">
        <f>(2-C10)</f>
        <v>1.00000000009095</v>
      </c>
      <c r="E10" s="3">
        <f>ABS(B10-($A$2/$A$3))</f>
        <v>1.7226856067833e-10</v>
      </c>
      <c r="F10" s="3">
        <f>-LOG(E10,2)</f>
        <v>32.4346215177235</v>
      </c>
      <c r="G10" s="5"/>
    </row>
    <row r="11" ht="20.05" customHeight="1">
      <c r="A11" s="3">
        <v>5</v>
      </c>
      <c r="B11" s="3">
        <f>B10*D10</f>
        <v>1.89425391231167</v>
      </c>
      <c r="C11" s="3">
        <f>C10*D10</f>
        <v>1</v>
      </c>
      <c r="D11" s="3">
        <f>(2-C11)</f>
        <v>1</v>
      </c>
      <c r="E11" s="3">
        <f>ABS(B11-($A$2/$A$3))</f>
        <v>1.14393216700394e-14</v>
      </c>
      <c r="F11" s="3">
        <f>-LOG(E11,2)</f>
        <v>46.3129918228352</v>
      </c>
      <c r="G11" s="5"/>
    </row>
    <row r="12" ht="20.05" customHeight="1">
      <c r="A12" s="3">
        <v>6</v>
      </c>
      <c r="B12" s="3">
        <f>B11*D11</f>
        <v>1.89425391231167</v>
      </c>
      <c r="C12" s="3">
        <f>C11*D11</f>
        <v>1</v>
      </c>
      <c r="D12" s="3">
        <f>(2-C12)</f>
        <v>1</v>
      </c>
      <c r="E12" s="3">
        <f>ABS(B12-($A$2/$A$3))</f>
        <v>1.14393216700394e-14</v>
      </c>
      <c r="F12" s="3">
        <f>-LOG(E12,2)</f>
        <v>46.3129918228352</v>
      </c>
      <c r="G12" s="5"/>
    </row>
    <row r="13" ht="20.05" customHeight="1">
      <c r="A13" s="3">
        <v>7</v>
      </c>
      <c r="B13" s="3">
        <f>B12*D12</f>
        <v>1.89425391231167</v>
      </c>
      <c r="C13" s="3">
        <f>C12*D12</f>
        <v>1</v>
      </c>
      <c r="D13" s="3">
        <f>(2-C13)</f>
        <v>1</v>
      </c>
      <c r="E13" s="3">
        <f>ABS(B13-($A$2/$A$3))</f>
        <v>1.14393216700394e-14</v>
      </c>
      <c r="F13" s="3">
        <f>-LOG(E13,2)</f>
        <v>46.3129918228352</v>
      </c>
      <c r="G13" s="5"/>
    </row>
    <row r="14" ht="20.05" customHeight="1">
      <c r="A14" s="3">
        <v>8</v>
      </c>
      <c r="B14" s="3">
        <f>B13*D13</f>
        <v>1.89425391231167</v>
      </c>
      <c r="C14" s="3">
        <f>C13*D13</f>
        <v>1</v>
      </c>
      <c r="D14" s="3">
        <f>(2-C14)</f>
        <v>1</v>
      </c>
      <c r="E14" s="3">
        <f>ABS(B14-($A$2/$A$3))</f>
        <v>1.14393216700394e-14</v>
      </c>
      <c r="F14" s="3">
        <f>-LOG(E14,2)</f>
        <v>46.3129918228352</v>
      </c>
      <c r="G14" s="5"/>
    </row>
    <row r="15" ht="20.05" customHeight="1">
      <c r="A15" s="5"/>
      <c r="B15" s="5"/>
      <c r="C15" s="5"/>
      <c r="D15" s="5"/>
      <c r="E15" s="5"/>
      <c r="F15" s="5"/>
      <c r="G15" s="5"/>
    </row>
    <row r="16" ht="20.05" customHeight="1">
      <c r="A16" t="s" s="4">
        <v>10</v>
      </c>
      <c r="B16" s="5"/>
      <c r="C16" s="5"/>
      <c r="D16" s="5"/>
      <c r="E16" s="5"/>
      <c r="F16" s="5"/>
      <c r="G16" s="5"/>
    </row>
    <row r="17" ht="20.05" customHeight="1">
      <c r="A17" t="s" s="4">
        <v>11</v>
      </c>
      <c r="B17" t="s" s="4">
        <v>12</v>
      </c>
      <c r="C17" s="5"/>
      <c r="D17" s="5"/>
      <c r="E17" s="5"/>
      <c r="F17" s="5"/>
      <c r="G17" s="5"/>
    </row>
    <row r="18" ht="20.05" customHeight="1">
      <c r="A18" t="s" s="4">
        <v>13</v>
      </c>
      <c r="B18" s="3">
        <v>1.89453125</v>
      </c>
      <c r="C18" s="5"/>
      <c r="D18" s="5"/>
      <c r="E18" s="5"/>
      <c r="F18" s="5"/>
      <c r="G18" s="5"/>
    </row>
    <row r="19" ht="20.05" customHeight="1">
      <c r="A19" s="5"/>
      <c r="B19" s="5"/>
      <c r="C19" s="5"/>
      <c r="D19" s="5"/>
      <c r="E19" s="5"/>
      <c r="F19" s="5"/>
      <c r="G19" s="5"/>
    </row>
    <row r="20" ht="20.05" customHeight="1">
      <c r="A20" s="5"/>
      <c r="B20" s="5"/>
      <c r="C20" s="5"/>
      <c r="D20" s="5"/>
      <c r="E20" s="5"/>
      <c r="F20" s="5"/>
      <c r="G20" s="5"/>
    </row>
    <row r="21" ht="20.05" customHeight="1">
      <c r="A21" s="5"/>
      <c r="B21" s="5"/>
      <c r="C21" s="5"/>
      <c r="D21" s="5"/>
      <c r="E21" s="5"/>
      <c r="F21" s="5"/>
      <c r="G21" s="5"/>
    </row>
    <row r="22" ht="20.05" customHeight="1">
      <c r="A22" s="5"/>
      <c r="B22" s="5"/>
      <c r="C22" s="5"/>
      <c r="D22" s="5"/>
      <c r="E22" s="5"/>
      <c r="F22" s="5"/>
      <c r="G22" s="5"/>
    </row>
    <row r="23" ht="20.05" customHeight="1">
      <c r="A23" s="5"/>
      <c r="B23" s="5"/>
      <c r="C23" s="5"/>
      <c r="D23" s="5"/>
      <c r="E23" s="5"/>
      <c r="F23" s="5"/>
      <c r="G23" s="5"/>
    </row>
  </sheetData>
  <mergeCells count="2">
    <mergeCell ref="A1:G1"/>
    <mergeCell ref="A16:F16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