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<sst xmlns="http://schemas.openxmlformats.org/spreadsheetml/2006/main" uniqueCount="15">
  <si>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</si>
  <si>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N</t>
  </si>
  <si>
    <t>IA</t>
  </si>
  <si>
    <t>D</t>
  </si>
  <si>
    <t>i</t>
  </si>
  <si>
    <t>q*K</t>
  </si>
  <si>
    <t>q*K*D</t>
  </si>
  <si>
    <t>(3-D*Xi^2)/2</t>
  </si>
  <si>
    <t>Error</t>
  </si>
  <si>
    <t>bits</t>
  </si>
  <si>
    <t>For 16 bits, we get a new one sqrt(D) = 1.00946532413698 at iteration 4, and we can round using RNE.</t>
  </si>
  <si>
    <t>RNE (Binary)</t>
  </si>
  <si>
    <t>0011110000001010</t>
  </si>
  <si>
    <t>RNE (Decimal)</t>
  </si>
  <si>
    <t>Actual: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</si>
</sst>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05" customHeight="1">
      <c r="A2" s="3"/>
      <c r="B2" t="s" s="4">
        <v>1</v>
      </c>
      <c r="C2" t="s" s="4">
        <v>2</v>
      </c>
      <c r="D2" s="5">
        <v>0.75</v>
      </c>
      <c r="E2" s="3"/>
      <c r="F2" s="3"/>
      <c r="G2" s="3"/>
    </row>
    <row r="3" ht="20.05" customHeight="1">
      <c r="A3" s="5">
        <v>1.0190203</v>
      </c>
      <c r="B3" t="s" s="4">
        <v>3</v>
      </c>
      <c r="C3" s="3"/>
      <c r="D3" s="3"/>
      <c r="E3" s="3"/>
      <c r="F3" s="3"/>
      <c r="G3" s="3"/>
    </row>
    <row r="4" ht="20.05" customHeight="1">
      <c r="A4" s="3"/>
      <c r="B4" s="3"/>
      <c r="C4" s="3"/>
      <c r="D4" s="3"/>
      <c r="E4" s="3"/>
      <c r="F4" s="3"/>
      <c r="G4" s="3"/>
    </row>
    <row r="5" ht="20.05" customHeight="1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  <c r="G5" s="3"/>
    </row>
    <row r="6" ht="20.05" customHeight="1">
      <c r="A6" s="5">
        <v>0</v>
      </c>
      <c r="B6" s="5">
        <f>D2</f>
        <v>0.75</v>
      </c>
      <c r="C6" s="5">
        <f>B6*$A$3</f>
        <v>0.764265225</v>
      </c>
      <c r="D6" s="5">
        <f>(3-$A$3*(B6^2))/2</f>
        <v>1.213400540625</v>
      </c>
      <c r="E6" s="5">
        <f>ABS(C6-(SQRT($A$3)))</f>
        <v>0.24520012854117</v>
      </c>
      <c r="F6" s="5">
        <f>-LOG(E6,2)</f>
        <v>2.027968359555</v>
      </c>
      <c r="G6" s="3"/>
    </row>
    <row r="7" ht="20.05" customHeight="1">
      <c r="A7" s="5">
        <v>1</v>
      </c>
      <c r="B7" s="5">
        <f>B6*D6</f>
        <v>0.91005040546875</v>
      </c>
      <c r="C7" s="5">
        <f>B7*$A$3</f>
        <v>0.927359837195887</v>
      </c>
      <c r="D7" s="5">
        <f>(3-$A$3*(B7^2))/2</f>
        <v>1.07802790207222</v>
      </c>
      <c r="E7" s="5">
        <f>ABS(C7-(SQRT($A$3)))</f>
        <v>0.0821055163452834</v>
      </c>
      <c r="F7" s="5">
        <f>-LOG(E7,2)</f>
        <v>3.60637703553497</v>
      </c>
      <c r="G7" s="3"/>
    </row>
    <row r="8" ht="20.05" customHeight="1">
      <c r="A8" s="5">
        <v>2</v>
      </c>
      <c r="B8" s="5">
        <f>B7*D7</f>
        <v>0.98105972938745</v>
      </c>
      <c r="C8" s="5">
        <f>B8*$A$3</f>
        <v>0.9997197797583181</v>
      </c>
      <c r="D8" s="5">
        <f>(3-$A$3*(B8^2))/2</f>
        <v>1.00960759170351</v>
      </c>
      <c r="E8" s="5">
        <f>ABS(C8-(SQRT($A$3)))</f>
        <v>0.0097455737828524</v>
      </c>
      <c r="F8" s="5">
        <f>-LOG(E8,2)</f>
        <v>6.68103715620237</v>
      </c>
      <c r="G8" s="3"/>
    </row>
    <row r="9" ht="20.05" customHeight="1">
      <c r="A9" s="5">
        <v>3</v>
      </c>
      <c r="B9" s="5">
        <f>B8*D8</f>
        <v>0.990485350704161</v>
      </c>
      <c r="C9" s="5">
        <f>B9*$A$3</f>
        <v>1.00932467922016</v>
      </c>
      <c r="D9" s="5">
        <f>(3-$A$3*(B9^2))/2</f>
        <v>1.00013934556413</v>
      </c>
      <c r="E9" s="5">
        <f>ABS(C9-(SQRT($A$3)))</f>
        <v>0.000140674321010396</v>
      </c>
      <c r="F9" s="5">
        <f>-LOG(E9,2)</f>
        <v>12.7953533795611</v>
      </c>
      <c r="G9" s="3"/>
    </row>
    <row r="10" ht="20.05" customHeight="1">
      <c r="A10" s="5">
        <v>4</v>
      </c>
      <c r="B10" s="5">
        <f>B9*D9</f>
        <v>0.990623370444117</v>
      </c>
      <c r="C10" s="5">
        <f>B10*$A$3</f>
        <v>1.00946532413698</v>
      </c>
      <c r="D10" s="5">
        <f>(3-$A$3*(B10^2))/2</f>
        <v>1.00000002912848</v>
      </c>
      <c r="E10" s="5">
        <f>ABS(C10-(SQRT($A$3)))</f>
        <v>2.94041903959568e-08</v>
      </c>
      <c r="F10" s="5">
        <f>-LOG(E10,2)</f>
        <v>25.0194029906809</v>
      </c>
      <c r="G10" s="3"/>
    </row>
    <row r="11" ht="20.05" customHeight="1">
      <c r="A11" s="5">
        <v>5</v>
      </c>
      <c r="B11" s="5">
        <f>B10*D10</f>
        <v>0.99062339929947</v>
      </c>
      <c r="C11" s="5">
        <f>B11*$A$3</f>
        <v>1.00946535354117</v>
      </c>
      <c r="D11" s="5">
        <f>(3-$A$3*(B11^2))/2</f>
        <v>1</v>
      </c>
      <c r="E11" s="5">
        <f>ABS(C11-(SQRT($A$3)))</f>
        <v>3.95956783067959e-16</v>
      </c>
      <c r="F11" s="5">
        <f>-LOG(E11,2)</f>
        <v>51.1655065430847</v>
      </c>
      <c r="G11" s="3"/>
    </row>
    <row r="12" ht="20.05" customHeight="1">
      <c r="A12" s="5">
        <v>6</v>
      </c>
      <c r="B12" s="5">
        <f>B11*D11</f>
        <v>0.99062339929947</v>
      </c>
      <c r="C12" s="5">
        <f>B12*$A$3</f>
        <v>1.00946535354117</v>
      </c>
      <c r="D12" s="5">
        <f>(3-$A$3*(B12^2))/2</f>
        <v>1</v>
      </c>
      <c r="E12" s="5">
        <f>ABS(C12-(SQRT($A$3)))</f>
        <v>3.95956783067959e-16</v>
      </c>
      <c r="F12" s="5">
        <f>-LOG(E12,2)</f>
        <v>51.1655065430847</v>
      </c>
      <c r="G12" s="3"/>
    </row>
    <row r="13" ht="20.05" customHeight="1">
      <c r="A13" s="5">
        <v>7</v>
      </c>
      <c r="B13" s="5">
        <f>B12*D12</f>
        <v>0.99062339929947</v>
      </c>
      <c r="C13" s="5">
        <f>B13*$A$3</f>
        <v>1.00946535354117</v>
      </c>
      <c r="D13" s="5">
        <f>(3-$A$3*(B13^2))/2</f>
        <v>1</v>
      </c>
      <c r="E13" s="5">
        <f>ABS(C13-(SQRT($A$3)))</f>
        <v>3.95956783067959e-16</v>
      </c>
      <c r="F13" s="5">
        <f>-LOG(E13,2)</f>
        <v>51.1655065430847</v>
      </c>
      <c r="G13" s="3"/>
    </row>
    <row r="14" ht="20.05" customHeight="1">
      <c r="A14" s="5">
        <v>8</v>
      </c>
      <c r="B14" s="5">
        <f>B13*D13</f>
        <v>0.99062339929947</v>
      </c>
      <c r="C14" s="5">
        <f>B14*$A$3</f>
        <v>1.00946535354117</v>
      </c>
      <c r="D14" s="5">
        <f>(3-$A$3*(B14^2))/2</f>
        <v>1</v>
      </c>
      <c r="E14" s="5">
        <f>ABS(C14-(SQRT($A$3)))</f>
        <v>3.95956783067959e-16</v>
      </c>
      <c r="F14" s="5">
        <f>-LOG(E14,2)</f>
        <v>51.1655065430847</v>
      </c>
      <c r="G14" s="3"/>
    </row>
    <row r="15" ht="20.05" customHeight="1">
      <c r="A15" s="3"/>
      <c r="B15" s="3"/>
      <c r="C15" s="3"/>
      <c r="D15" s="3"/>
      <c r="E15" s="3"/>
      <c r="F15" s="3"/>
      <c r="G15" s="3"/>
    </row>
    <row r="16" ht="20.05" customHeight="1">
      <c r="A16" t="s" s="4">
        <v>10</v>
      </c>
      <c r="B16" s="3"/>
      <c r="C16" s="3"/>
      <c r="D16" s="3"/>
      <c r="E16" s="3"/>
      <c r="F16" s="3"/>
      <c r="G16" s="3"/>
    </row>
    <row r="17" ht="20.05" customHeight="1">
      <c r="A17" t="s" s="4">
        <v>11</v>
      </c>
      <c r="B17" t="s" s="4">
        <v>12</v>
      </c>
      <c r="C17" s="3"/>
      <c r="D17" s="3"/>
      <c r="E17" s="3"/>
      <c r="F17" s="3"/>
      <c r="G17" s="3"/>
    </row>
    <row r="18" ht="20.05" customHeight="1">
      <c r="A18" t="s" s="4">
        <v>13</v>
      </c>
      <c r="B18" s="5">
        <v>1.009765625</v>
      </c>
      <c r="C18" s="3"/>
      <c r="D18" s="3"/>
      <c r="E18" s="3"/>
      <c r="F18" s="3"/>
      <c r="G18" s="3"/>
    </row>
    <row r="19" ht="20.05" customHeight="1">
      <c r="A19" s="3"/>
      <c r="B19" s="3"/>
      <c r="C19" s="3"/>
      <c r="D19" s="3"/>
      <c r="E19" s="3"/>
      <c r="F19" s="3"/>
      <c r="G19" s="3"/>
    </row>
    <row r="20" ht="20.05" customHeight="1">
      <c r="A20" s="3"/>
      <c r="B20" s="3"/>
      <c r="C20" s="3"/>
      <c r="D20" s="3"/>
      <c r="E20" s="3"/>
      <c r="F20" s="3"/>
      <c r="G20" s="3"/>
    </row>
    <row r="21" ht="20.05" customHeight="1">
      <c r="A21" t="s" s="4">
        <v>14</v>
      </c>
      <c r="B21" s="5">
        <f>SQRT(A3)</f>
        <v>1.00946535354117</v>
      </c>
      <c r="C21" s="3"/>
      <c r="D21" s="3"/>
      <c r="E21" s="3"/>
      <c r="F21" s="3"/>
      <c r="G21" s="3"/>
    </row>
    <row r="22" ht="20.05" customHeight="1">
      <c r="A22" s="3"/>
      <c r="B22" s="3"/>
      <c r="C22" s="3"/>
      <c r="D22" s="3"/>
      <c r="E22" s="3"/>
      <c r="F22" s="3"/>
      <c r="G22" s="3"/>
    </row>
    <row r="23" ht="20.05" customHeight="1">
      <c r="A23" s="3"/>
      <c r="B23" s="3"/>
      <c r="C23" s="3"/>
      <c r="D23" s="3"/>
      <c r="E23" s="3"/>
      <c r="F23" s="3"/>
      <c r="G23" s="3"/>
    </row>
  </sheetData>
  <mergeCells count="2">
    <mergeCell ref="A1:G1"/>
    <mergeCell ref="A16:F1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